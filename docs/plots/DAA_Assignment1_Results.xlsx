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B7E04A-173C-4F08-BA3F-0EFC97AEF8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C29" i="2"/>
  <c r="B29" i="2"/>
  <c r="C28" i="2"/>
  <c r="D15" i="2"/>
  <c r="C15" i="2"/>
  <c r="B15" i="2"/>
  <c r="D14" i="2"/>
  <c r="C14" i="2"/>
  <c r="B14" i="2"/>
  <c r="D13" i="2"/>
  <c r="C13" i="2"/>
  <c r="B13" i="2"/>
  <c r="D8" i="2"/>
  <c r="C8" i="2"/>
  <c r="D7" i="2"/>
  <c r="B7" i="2"/>
  <c r="G31" i="1"/>
  <c r="B30" i="2" s="1"/>
  <c r="G30" i="1"/>
  <c r="G29" i="1"/>
  <c r="B28" i="2" s="1"/>
  <c r="G28" i="1"/>
  <c r="G27" i="1"/>
  <c r="G26" i="1"/>
  <c r="D6" i="2" s="1"/>
  <c r="G25" i="1"/>
  <c r="C23" i="2" s="1"/>
  <c r="G24" i="1"/>
  <c r="B23" i="2" s="1"/>
  <c r="G23" i="1"/>
  <c r="C22" i="2" s="1"/>
  <c r="G22" i="1"/>
  <c r="B22" i="2" s="1"/>
  <c r="G21" i="1"/>
  <c r="C21" i="2" s="1"/>
  <c r="G20" i="1"/>
  <c r="B21" i="2" s="1"/>
  <c r="G19" i="1"/>
  <c r="C20" i="2" s="1"/>
  <c r="G18" i="1"/>
  <c r="B20" i="2" s="1"/>
  <c r="G17" i="1"/>
  <c r="G16" i="1"/>
  <c r="G15" i="1"/>
  <c r="G14" i="1"/>
  <c r="G13" i="1"/>
  <c r="G12" i="1"/>
  <c r="G11" i="1"/>
  <c r="C7" i="2" s="1"/>
  <c r="G10" i="1"/>
  <c r="G9" i="1"/>
  <c r="G8" i="1"/>
  <c r="G7" i="1"/>
  <c r="G6" i="1"/>
  <c r="G5" i="1"/>
  <c r="G4" i="1"/>
  <c r="G3" i="1"/>
  <c r="C6" i="2" s="1"/>
  <c r="G2" i="1"/>
  <c r="B6" i="2" s="1"/>
  <c r="B8" i="2" l="1"/>
</calcChain>
</file>

<file path=xl/sharedStrings.xml><?xml version="1.0" encoding="utf-8"?>
<sst xmlns="http://schemas.openxmlformats.org/spreadsheetml/2006/main" count="105" uniqueCount="31">
  <si>
    <t>Algorithm</t>
  </si>
  <si>
    <t>Input Type</t>
  </si>
  <si>
    <t>n</t>
  </si>
  <si>
    <t>Time (ns)</t>
  </si>
  <si>
    <t>Max Recursion Depth</t>
  </si>
  <si>
    <t>Comparisons</t>
  </si>
  <si>
    <t>Time (ms)</t>
  </si>
  <si>
    <t>MergeSort</t>
  </si>
  <si>
    <t>random</t>
  </si>
  <si>
    <t>QuickSort</t>
  </si>
  <si>
    <t>sorted</t>
  </si>
  <si>
    <t>reverse</t>
  </si>
  <si>
    <t>duplicates</t>
  </si>
  <si>
    <t>DeterministicSelect</t>
  </si>
  <si>
    <t>ClosestPair</t>
  </si>
  <si>
    <t>DAA Assignment 1 — Experimental Results</t>
  </si>
  <si>
    <t>Source: results.csv | Metrics: execution time, recursion depth, comparisons</t>
  </si>
  <si>
    <t>MergeSort Time (ms)</t>
  </si>
  <si>
    <t>QuickSort Time (ms)</t>
  </si>
  <si>
    <t>Assignment Requirement</t>
  </si>
  <si>
    <t>Status</t>
  </si>
  <si>
    <t>Evidence</t>
  </si>
  <si>
    <t>Small / medium / large inputs</t>
  </si>
  <si>
    <t>OK</t>
  </si>
  <si>
    <t>100, 1000, 10000 (+ 5000 points)</t>
  </si>
  <si>
    <t>Different sorting input types</t>
  </si>
  <si>
    <t>random / sorted / reverse / duplicates</t>
  </si>
  <si>
    <t>Execution time</t>
  </si>
  <si>
    <t>Time (ns) + Time (ms)</t>
  </si>
  <si>
    <t>Maximum recursion depth</t>
  </si>
  <si>
    <t>Additional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</si>
</sst>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i/>
      <sz val="11"/>
      <color rgb="FF1F1F1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70AD47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A9D18E"/>
      </left>
      <right/>
      <top style="thin">
        <color rgb="FFA9D18E"/>
      </top>
      <bottom/>
      <diagonal/>
    </border>
    <border>
      <left/>
      <right/>
      <top style="thin">
        <color rgb="FFA9D18E"/>
      </top>
      <bottom/>
      <diagonal/>
    </border>
    <border>
      <left/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/>
      <top/>
      <bottom/>
      <diagonal/>
    </border>
    <border>
      <left/>
      <right style="thin">
        <color rgb="FFA9D18E"/>
      </right>
      <top/>
      <bottom/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/>
      <top/>
      <bottom style="thin">
        <color rgb="FFA9D18E"/>
      </bottom>
      <diagonal/>
    </border>
    <border>
      <left/>
      <right style="thin">
        <color rgb="FFA9D18E"/>
      </right>
      <top/>
      <bottom style="thin">
        <color rgb="FFA9D18E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0" borderId="2" xfId="1" applyFont="1" applyBorder="1"/>
    <xf numFmtId="0" fontId="0" fillId="0" borderId="0" xfId="1" applyFont="1"/>
    <xf numFmtId="0" fontId="0" fillId="0" borderId="4" xfId="1" applyFont="1" applyBorder="1"/>
    <xf numFmtId="0" fontId="0" fillId="0" borderId="5" xfId="1" applyFont="1" applyBorder="1"/>
    <xf numFmtId="0" fontId="0" fillId="0" borderId="0" xfId="1" applyFont="1" applyAlignment="1">
      <alignment horizontal="right"/>
    </xf>
    <xf numFmtId="0" fontId="0" fillId="0" borderId="5" xfId="1" applyFont="1" applyBorder="1" applyAlignment="1">
      <alignment horizontal="right"/>
    </xf>
    <xf numFmtId="164" fontId="0" fillId="0" borderId="3" xfId="1" applyNumberFormat="1" applyFont="1" applyBorder="1"/>
    <xf numFmtId="164" fontId="0" fillId="0" borderId="6" xfId="1" applyNumberFormat="1" applyFont="1" applyBorder="1"/>
    <xf numFmtId="0" fontId="1" fillId="4" borderId="7" xfId="1" applyFont="1" applyFill="1" applyBorder="1" applyAlignment="1">
      <alignment horizontal="center" vertical="center"/>
    </xf>
    <xf numFmtId="0" fontId="1" fillId="4" borderId="8" xfId="1" applyFont="1" applyFill="1" applyBorder="1" applyAlignment="1">
      <alignment horizontal="center" vertical="center"/>
    </xf>
    <xf numFmtId="0" fontId="1" fillId="4" borderId="9" xfId="1" applyFont="1" applyFill="1" applyBorder="1" applyAlignment="1">
      <alignment horizontal="center" vertical="center"/>
    </xf>
    <xf numFmtId="0" fontId="0" fillId="0" borderId="10" xfId="1" applyFont="1" applyBorder="1"/>
    <xf numFmtId="0" fontId="0" fillId="0" borderId="11" xfId="1" applyFont="1" applyBorder="1"/>
    <xf numFmtId="0" fontId="0" fillId="0" borderId="12" xfId="1" applyFont="1" applyBorder="1"/>
    <xf numFmtId="0" fontId="0" fillId="0" borderId="13" xfId="1" applyFont="1" applyBorder="1"/>
    <xf numFmtId="0" fontId="0" fillId="0" borderId="14" xfId="1" applyFont="1" applyBorder="1"/>
    <xf numFmtId="164" fontId="0" fillId="0" borderId="0" xfId="1" applyNumberFormat="1" applyFont="1"/>
    <xf numFmtId="164" fontId="0" fillId="0" borderId="11" xfId="1" applyNumberFormat="1" applyFont="1" applyBorder="1"/>
    <xf numFmtId="164" fontId="0" fillId="0" borderId="13" xfId="1" applyNumberFormat="1" applyFont="1" applyBorder="1"/>
    <xf numFmtId="164" fontId="0" fillId="0" borderId="14" xfId="1" applyNumberFormat="1" applyFont="1" applyBorder="1"/>
    <xf numFmtId="0" fontId="1" fillId="5" borderId="15" xfId="1" applyFont="1" applyFill="1" applyBorder="1" applyAlignment="1">
      <alignment horizontal="center"/>
    </xf>
    <xf numFmtId="0" fontId="1" fillId="5" borderId="16" xfId="1" applyFont="1" applyFill="1" applyBorder="1" applyAlignment="1">
      <alignment horizontal="center"/>
    </xf>
    <xf numFmtId="0" fontId="1" fillId="5" borderId="17" xfId="1" applyFont="1" applyFill="1" applyBorder="1" applyAlignment="1">
      <alignment horizontal="center"/>
    </xf>
    <xf numFmtId="0" fontId="0" fillId="0" borderId="18" xfId="1" applyFont="1" applyBorder="1" applyAlignment="1">
      <alignment wrapText="1"/>
    </xf>
    <xf numFmtId="0" fontId="0" fillId="0" borderId="0" xfId="1" applyFont="1" applyAlignment="1">
      <alignment wrapText="1"/>
    </xf>
    <xf numFmtId="0" fontId="0" fillId="0" borderId="19" xfId="1" applyFont="1" applyBorder="1" applyAlignment="1">
      <alignment wrapText="1"/>
    </xf>
    <xf numFmtId="0" fontId="0" fillId="0" borderId="20" xfId="1" applyFont="1" applyBorder="1" applyAlignment="1">
      <alignment wrapText="1"/>
    </xf>
    <xf numFmtId="0" fontId="0" fillId="0" borderId="21" xfId="1" applyFont="1" applyBorder="1" applyAlignment="1">
      <alignment wrapText="1"/>
    </xf>
    <xf numFmtId="0" fontId="0" fillId="0" borderId="22" xfId="1" applyFont="1" applyBorder="1" applyAlignment="1">
      <alignment wrapText="1"/>
    </xf>
    <xf numFmtId="0" fontId="2" fillId="2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/>
    </xf>
    <xf numFmtId="0" fontId="0" fillId="0" borderId="1" xfId="0" applyBorder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Time vs n — Random Input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MergeSort</c:v>
          </c:tx>
          <c:marker>
            <c:symbol val="none"/>
          </c:marker>
          <c:cat>
            <c:numRef>
              <c:f>Dashboard!$A$6:$A$8</c:f>
              <c:numCache>
                <c:formatCode>General</c:formatCod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numCache>
            </c:numRef>
          </c:cat>
          <c:val>
            <c:numRef>
              <c:f>Dashboard!$B$6:$B$8</c:f>
              <c:numCache>
                <c:formatCode>0.000</c:formatCode>
                <c:ptCount val="3"/>
                <c:pt idx="0">
                  <c:v>0.6774</c:v>
                </c:pt>
                <c:pt idx="1">
                  <c:v>0.69510000000000005</c:v>
                </c:pt>
                <c:pt idx="2">
                  <c:v>1.3115000000000001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04-4CF7-83E7-EF380F7D68D2}"/>
            </c:ext>
          </c:extLst>
        </c:ser>
        <c:ser>
          <c:idx val="1"/>
          <c:order val="1"/>
          <c:tx>
            <c:v>QuickSort</c:v>
          </c:tx>
          <c:marker>
            <c:symbol val="none"/>
          </c:marker>
          <c:cat>
            <c:numRef>
              <c:f>Dashboard!$A$6:$A$8</c:f>
              <c:numCache>
                <c:formatCode>General</c:formatCod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numCache>
            </c:numRef>
          </c:cat>
          <c:val>
            <c:numRef>
              <c:f>Dashboard!$C$6:$C$8</c:f>
              <c:numCache>
                <c:formatCode>0.000</c:formatCode>
                <c:ptCount val="3"/>
                <c:pt idx="0">
                  <c:v>0.71109999999999995</c:v>
                </c:pt>
                <c:pt idx="1">
                  <c:v>1.1288</c:v>
                </c:pt>
                <c:pt idx="2">
                  <c:v>1.3043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04-4CF7-83E7-EF380F7D68D2}"/>
            </c:ext>
          </c:extLst>
        </c:ser>
        <c:ser>
          <c:idx val="2"/>
          <c:order val="2"/>
          <c:tx>
            <c:v>DeterministicSelect</c:v>
          </c:tx>
          <c:marker>
            <c:symbol val="none"/>
          </c:marker>
          <c:cat>
            <c:numRef>
              <c:f>Dashboard!$A$6:$A$8</c:f>
              <c:numCache>
                <c:formatCode>General</c:formatCod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numCache>
            </c:numRef>
          </c:cat>
          <c:val>
            <c:numRef>
              <c:f>Dashboard!$D$6:$D$8</c:f>
              <c:numCache>
                <c:formatCode>0.000</c:formatCode>
                <c:ptCount val="3"/>
                <c:pt idx="0">
                  <c:v>0.94220000000000004</c:v>
                </c:pt>
                <c:pt idx="1">
                  <c:v>0.58540000000000003</c:v>
                </c:pt>
                <c:pt idx="2">
                  <c:v>1.8619000000000001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F04-4CF7-83E7-EF380F7D6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Recursion Depth vs n — Random Input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MergeSort</c:v>
          </c:tx>
          <c:marker>
            <c:symbol val="none"/>
          </c:marker>
          <c:cat>
            <c:numRef>
              <c:f>Dashboard!$A$13:$A$15</c:f>
              <c:numCache>
                <c:formatCode>General</c:formatCod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numCache>
            </c:numRef>
          </c:cat>
          <c:val>
            <c:numRef>
              <c:f>Dashboard!$B$13:$B$15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B5-4866-B0C7-109E304506EC}"/>
            </c:ext>
          </c:extLst>
        </c:ser>
        <c:ser>
          <c:idx val="1"/>
          <c:order val="1"/>
          <c:tx>
            <c:v>QuickSort</c:v>
          </c:tx>
          <c:marker>
            <c:symbol val="none"/>
          </c:marker>
          <c:cat>
            <c:numRef>
              <c:f>Dashboard!$A$13:$A$15</c:f>
              <c:numCache>
                <c:formatCode>General</c:formatCod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numCache>
            </c:numRef>
          </c:cat>
          <c:val>
            <c:numRef>
              <c:f>Dashboard!$C$13:$C$15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B5-4866-B0C7-109E304506EC}"/>
            </c:ext>
          </c:extLst>
        </c:ser>
        <c:ser>
          <c:idx val="2"/>
          <c:order val="2"/>
          <c:tx>
            <c:v>DeterministicSelect</c:v>
          </c:tx>
          <c:marker>
            <c:symbol val="none"/>
          </c:marker>
          <c:cat>
            <c:numRef>
              <c:f>Dashboard!$A$13:$A$15</c:f>
              <c:numCache>
                <c:formatCode>General</c:formatCod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numCache>
            </c:numRef>
          </c:cat>
          <c:val>
            <c:numRef>
              <c:f>Dashboard!$D$13:$D$15</c:f>
              <c:numCache>
                <c:formatCode>General</c:formatCode>
                <c:ptCount val="3"/>
                <c:pt idx="0">
                  <c:v>6</c:v>
                </c:pt>
                <c:pt idx="1">
                  <c:v>9</c:v>
                </c:pt>
                <c:pt idx="2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CB5-4866-B0C7-109E30450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Sorting Time by Input Type — n = 10,000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MergeSort Time (ms)</c:v>
          </c:tx>
          <c:invertIfNegative val="1"/>
          <c:cat>
            <c:strRef>
              <c:f>Dashboard!$A$20:$A$23</c:f>
              <c:strCache>
                <c:ptCount val="4"/>
                <c:pt idx="0">
                  <c:v>random</c:v>
                </c:pt>
                <c:pt idx="1">
                  <c:v>sorted</c:v>
                </c:pt>
                <c:pt idx="2">
                  <c:v>reverse</c:v>
                </c:pt>
                <c:pt idx="3">
                  <c:v>duplicates</c:v>
                </c:pt>
              </c:strCache>
            </c:strRef>
          </c:cat>
          <c:val>
            <c:numRef>
              <c:f>Dashboard!$B$20:$B$23</c:f>
              <c:numCache>
                <c:formatCode>0.000</c:formatCode>
                <c:ptCount val="4"/>
                <c:pt idx="0">
                  <c:v>1.3115000000000001</c:v>
                </c:pt>
                <c:pt idx="1">
                  <c:v>1.3355999999999999</c:v>
                </c:pt>
                <c:pt idx="2">
                  <c:v>1.0661</c:v>
                </c:pt>
                <c:pt idx="3">
                  <c:v>1.7361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E-4846-A7E5-31FA29028A61}"/>
            </c:ext>
          </c:extLst>
        </c:ser>
        <c:ser>
          <c:idx val="1"/>
          <c:order val="1"/>
          <c:tx>
            <c:v>QuickSort Time (ms)</c:v>
          </c:tx>
          <c:invertIfNegative val="1"/>
          <c:cat>
            <c:strRef>
              <c:f>Dashboard!$A$20:$A$23</c:f>
              <c:strCache>
                <c:ptCount val="4"/>
                <c:pt idx="0">
                  <c:v>random</c:v>
                </c:pt>
                <c:pt idx="1">
                  <c:v>sorted</c:v>
                </c:pt>
                <c:pt idx="2">
                  <c:v>reverse</c:v>
                </c:pt>
                <c:pt idx="3">
                  <c:v>duplicates</c:v>
                </c:pt>
              </c:strCache>
            </c:strRef>
          </c:cat>
          <c:val>
            <c:numRef>
              <c:f>Dashboard!$C$20:$C$23</c:f>
              <c:numCache>
                <c:formatCode>0.000</c:formatCode>
                <c:ptCount val="4"/>
                <c:pt idx="0">
                  <c:v>1.3043</c:v>
                </c:pt>
                <c:pt idx="1">
                  <c:v>0.87870000000000004</c:v>
                </c:pt>
                <c:pt idx="2">
                  <c:v>0.96479999999999999</c:v>
                </c:pt>
                <c:pt idx="3">
                  <c:v>8.4071999999999996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EE-4846-A7E5-31FA29028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Closest Pair Time vs 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Time (ms)</c:v>
          </c:tx>
          <c:marker>
            <c:symbol val="none"/>
          </c:marker>
          <c:cat>
            <c:numRef>
              <c:f>Dashboard!$A$28:$A$30</c:f>
              <c:numCache>
                <c:formatCode>General</c:formatCode>
                <c:ptCount val="3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</c:numCache>
            </c:numRef>
          </c:cat>
          <c:val>
            <c:numRef>
              <c:f>Dashboard!$B$28:$B$30</c:f>
              <c:numCache>
                <c:formatCode>0.000</c:formatCode>
                <c:ptCount val="3"/>
                <c:pt idx="0">
                  <c:v>6.8277999999999999</c:v>
                </c:pt>
                <c:pt idx="1">
                  <c:v>5.7114000000000003</c:v>
                </c:pt>
                <c:pt idx="2">
                  <c:v>14.245699999999999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32-4CC4-B251-BE7A6CC02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sTable" displayName="ResultsTable" ref="A1:G31" totalsRowShown="0">
  <tableColumns count="7">
    <tableColumn id="1" xr3:uid="{00000000-0010-0000-0000-000001000000}" name="Algorithm"/>
    <tableColumn id="2" xr3:uid="{00000000-0010-0000-0000-000002000000}" name="Input Type"/>
    <tableColumn id="3" xr3:uid="{00000000-0010-0000-0000-000003000000}" name="n"/>
    <tableColumn id="4" xr3:uid="{00000000-0010-0000-0000-000004000000}" name="Time (ns)"/>
    <tableColumn id="5" xr3:uid="{00000000-0010-0000-0000-000005000000}" name="Max Recursion Depth"/>
    <tableColumn id="6" xr3:uid="{00000000-0010-0000-0000-000006000000}" name="Comparisons"/>
    <tableColumn id="7" xr3:uid="{00000000-0010-0000-0000-000007000000}" name="Time (ms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H2" sqref="H2"/>
    </sheetView>
  </sheetViews>
  <sheetFormatPr defaultRowHeight="13.8"/>
  <cols>
    <col min="1" max="1" width="23" customWidth="1"/>
    <col min="2" max="2" width="16" customWidth="1"/>
    <col min="3" max="3" width="10" customWidth="1"/>
    <col min="4" max="4" width="16" customWidth="1"/>
    <col min="5" max="5" width="22" customWidth="1"/>
    <col min="6" max="6" width="18" customWidth="1"/>
    <col min="7" max="7" width="14" customWidth="1"/>
  </cols>
  <sheetData>
    <row r="1" spans="1:7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</row>
    <row r="2" spans="1:7">
      <c r="A2" s="32" t="s">
        <v>7</v>
      </c>
      <c r="B2" s="32" t="s">
        <v>8</v>
      </c>
      <c r="C2" s="32">
        <v>100</v>
      </c>
      <c r="D2" s="32">
        <v>677400</v>
      </c>
      <c r="E2" s="32">
        <v>5</v>
      </c>
      <c r="F2" s="32">
        <v>556</v>
      </c>
      <c r="G2" s="32">
        <f t="shared" ref="G2:G31" si="0">D2/1000000</f>
        <v>0.6774</v>
      </c>
    </row>
    <row r="3" spans="1:7">
      <c r="A3" s="32" t="s">
        <v>9</v>
      </c>
      <c r="B3" s="32" t="s">
        <v>8</v>
      </c>
      <c r="C3" s="32">
        <v>100</v>
      </c>
      <c r="D3" s="32">
        <v>711100</v>
      </c>
      <c r="E3" s="32">
        <v>4</v>
      </c>
      <c r="F3" s="32">
        <v>590</v>
      </c>
      <c r="G3" s="32">
        <f t="shared" si="0"/>
        <v>0.71109999999999995</v>
      </c>
    </row>
    <row r="4" spans="1:7">
      <c r="A4" s="32" t="s">
        <v>7</v>
      </c>
      <c r="B4" s="32" t="s">
        <v>10</v>
      </c>
      <c r="C4" s="32">
        <v>100</v>
      </c>
      <c r="D4" s="32">
        <v>36200</v>
      </c>
      <c r="E4" s="32">
        <v>5</v>
      </c>
      <c r="F4" s="32">
        <v>288</v>
      </c>
      <c r="G4" s="32">
        <f t="shared" si="0"/>
        <v>3.6200000000000003E-2</v>
      </c>
    </row>
    <row r="5" spans="1:7">
      <c r="A5" s="32" t="s">
        <v>9</v>
      </c>
      <c r="B5" s="32" t="s">
        <v>10</v>
      </c>
      <c r="C5" s="32">
        <v>100</v>
      </c>
      <c r="D5" s="32">
        <v>83300</v>
      </c>
      <c r="E5" s="32">
        <v>4</v>
      </c>
      <c r="F5" s="32">
        <v>612</v>
      </c>
      <c r="G5" s="32">
        <f t="shared" si="0"/>
        <v>8.3299999999999999E-2</v>
      </c>
    </row>
    <row r="6" spans="1:7">
      <c r="A6" s="32" t="s">
        <v>7</v>
      </c>
      <c r="B6" s="32" t="s">
        <v>11</v>
      </c>
      <c r="C6" s="32">
        <v>100</v>
      </c>
      <c r="D6" s="32">
        <v>54800</v>
      </c>
      <c r="E6" s="32">
        <v>5</v>
      </c>
      <c r="F6" s="32">
        <v>460</v>
      </c>
      <c r="G6" s="32">
        <f t="shared" si="0"/>
        <v>5.4800000000000001E-2</v>
      </c>
    </row>
    <row r="7" spans="1:7">
      <c r="A7" s="32" t="s">
        <v>9</v>
      </c>
      <c r="B7" s="32" t="s">
        <v>11</v>
      </c>
      <c r="C7" s="32">
        <v>100</v>
      </c>
      <c r="D7" s="32">
        <v>80900</v>
      </c>
      <c r="E7" s="32">
        <v>4</v>
      </c>
      <c r="F7" s="32">
        <v>577</v>
      </c>
      <c r="G7" s="32">
        <f t="shared" si="0"/>
        <v>8.09E-2</v>
      </c>
    </row>
    <row r="8" spans="1:7">
      <c r="A8" s="32" t="s">
        <v>7</v>
      </c>
      <c r="B8" s="32" t="s">
        <v>12</v>
      </c>
      <c r="C8" s="32">
        <v>100</v>
      </c>
      <c r="D8" s="32">
        <v>44400</v>
      </c>
      <c r="E8" s="32">
        <v>5</v>
      </c>
      <c r="F8" s="32">
        <v>505</v>
      </c>
      <c r="G8" s="32">
        <f t="shared" si="0"/>
        <v>4.4400000000000002E-2</v>
      </c>
    </row>
    <row r="9" spans="1:7">
      <c r="A9" s="32" t="s">
        <v>9</v>
      </c>
      <c r="B9" s="32" t="s">
        <v>12</v>
      </c>
      <c r="C9" s="32">
        <v>100</v>
      </c>
      <c r="D9" s="32">
        <v>112900</v>
      </c>
      <c r="E9" s="32">
        <v>2</v>
      </c>
      <c r="F9" s="32">
        <v>1269</v>
      </c>
      <c r="G9" s="32">
        <f t="shared" si="0"/>
        <v>0.1129</v>
      </c>
    </row>
    <row r="10" spans="1:7">
      <c r="A10" s="32" t="s">
        <v>7</v>
      </c>
      <c r="B10" s="32" t="s">
        <v>8</v>
      </c>
      <c r="C10" s="32">
        <v>1000</v>
      </c>
      <c r="D10" s="32">
        <v>695100</v>
      </c>
      <c r="E10" s="32">
        <v>8</v>
      </c>
      <c r="F10" s="32">
        <v>9094</v>
      </c>
      <c r="G10" s="32">
        <f t="shared" si="0"/>
        <v>0.69510000000000005</v>
      </c>
    </row>
    <row r="11" spans="1:7">
      <c r="A11" s="32" t="s">
        <v>9</v>
      </c>
      <c r="B11" s="32" t="s">
        <v>8</v>
      </c>
      <c r="C11" s="32">
        <v>1000</v>
      </c>
      <c r="D11" s="32">
        <v>1128800</v>
      </c>
      <c r="E11" s="32">
        <v>6</v>
      </c>
      <c r="F11" s="32">
        <v>10392</v>
      </c>
      <c r="G11" s="32">
        <f t="shared" si="0"/>
        <v>1.1288</v>
      </c>
    </row>
    <row r="12" spans="1:7">
      <c r="A12" s="32" t="s">
        <v>7</v>
      </c>
      <c r="B12" s="32" t="s">
        <v>10</v>
      </c>
      <c r="C12" s="32">
        <v>1000</v>
      </c>
      <c r="D12" s="32">
        <v>515600</v>
      </c>
      <c r="E12" s="32">
        <v>8</v>
      </c>
      <c r="F12" s="32">
        <v>4404</v>
      </c>
      <c r="G12" s="32">
        <f t="shared" si="0"/>
        <v>0.51559999999999995</v>
      </c>
    </row>
    <row r="13" spans="1:7">
      <c r="A13" s="32" t="s">
        <v>9</v>
      </c>
      <c r="B13" s="32" t="s">
        <v>10</v>
      </c>
      <c r="C13" s="32">
        <v>1000</v>
      </c>
      <c r="D13" s="32">
        <v>1013600</v>
      </c>
      <c r="E13" s="32">
        <v>6</v>
      </c>
      <c r="F13" s="32">
        <v>10727</v>
      </c>
      <c r="G13" s="32">
        <f t="shared" si="0"/>
        <v>1.0136000000000001</v>
      </c>
    </row>
    <row r="14" spans="1:7">
      <c r="A14" s="32" t="s">
        <v>7</v>
      </c>
      <c r="B14" s="32" t="s">
        <v>11</v>
      </c>
      <c r="C14" s="32">
        <v>1000</v>
      </c>
      <c r="D14" s="32">
        <v>638500</v>
      </c>
      <c r="E14" s="32">
        <v>8</v>
      </c>
      <c r="F14" s="32">
        <v>6884</v>
      </c>
      <c r="G14" s="32">
        <f t="shared" si="0"/>
        <v>0.63849999999999996</v>
      </c>
    </row>
    <row r="15" spans="1:7">
      <c r="A15" s="32" t="s">
        <v>9</v>
      </c>
      <c r="B15" s="32" t="s">
        <v>11</v>
      </c>
      <c r="C15" s="32">
        <v>1000</v>
      </c>
      <c r="D15" s="32">
        <v>1006700</v>
      </c>
      <c r="E15" s="32">
        <v>6</v>
      </c>
      <c r="F15" s="32">
        <v>11005</v>
      </c>
      <c r="G15" s="32">
        <f t="shared" si="0"/>
        <v>1.0066999999999999</v>
      </c>
    </row>
    <row r="16" spans="1:7">
      <c r="A16" s="32" t="s">
        <v>7</v>
      </c>
      <c r="B16" s="32" t="s">
        <v>12</v>
      </c>
      <c r="C16" s="32">
        <v>1000</v>
      </c>
      <c r="D16" s="32">
        <v>634500</v>
      </c>
      <c r="E16" s="32">
        <v>8</v>
      </c>
      <c r="F16" s="32">
        <v>8285</v>
      </c>
      <c r="G16" s="32">
        <f t="shared" si="0"/>
        <v>0.63449999999999995</v>
      </c>
    </row>
    <row r="17" spans="1:7">
      <c r="A17" s="32" t="s">
        <v>9</v>
      </c>
      <c r="B17" s="32" t="s">
        <v>12</v>
      </c>
      <c r="C17" s="32">
        <v>1000</v>
      </c>
      <c r="D17" s="32">
        <v>3900300</v>
      </c>
      <c r="E17" s="32">
        <v>3</v>
      </c>
      <c r="F17" s="32">
        <v>102379</v>
      </c>
      <c r="G17" s="32">
        <f t="shared" si="0"/>
        <v>3.9003000000000001</v>
      </c>
    </row>
    <row r="18" spans="1:7">
      <c r="A18" s="32" t="s">
        <v>7</v>
      </c>
      <c r="B18" s="32" t="s">
        <v>8</v>
      </c>
      <c r="C18" s="32">
        <v>10000</v>
      </c>
      <c r="D18" s="32">
        <v>1311500</v>
      </c>
      <c r="E18" s="32">
        <v>11</v>
      </c>
      <c r="F18" s="32">
        <v>127050</v>
      </c>
      <c r="G18" s="32">
        <f t="shared" si="0"/>
        <v>1.3115000000000001</v>
      </c>
    </row>
    <row r="19" spans="1:7">
      <c r="A19" s="32" t="s">
        <v>9</v>
      </c>
      <c r="B19" s="32" t="s">
        <v>8</v>
      </c>
      <c r="C19" s="32">
        <v>10000</v>
      </c>
      <c r="D19" s="32">
        <v>1304300</v>
      </c>
      <c r="E19" s="32">
        <v>9</v>
      </c>
      <c r="F19" s="32">
        <v>156488</v>
      </c>
      <c r="G19" s="32">
        <f t="shared" si="0"/>
        <v>1.3043</v>
      </c>
    </row>
    <row r="20" spans="1:7">
      <c r="A20" s="32" t="s">
        <v>7</v>
      </c>
      <c r="B20" s="32" t="s">
        <v>10</v>
      </c>
      <c r="C20" s="32">
        <v>10000</v>
      </c>
      <c r="D20" s="32">
        <v>1335600</v>
      </c>
      <c r="E20" s="32">
        <v>11</v>
      </c>
      <c r="F20" s="32">
        <v>59248</v>
      </c>
      <c r="G20" s="32">
        <f t="shared" si="0"/>
        <v>1.3355999999999999</v>
      </c>
    </row>
    <row r="21" spans="1:7">
      <c r="A21" s="32" t="s">
        <v>9</v>
      </c>
      <c r="B21" s="32" t="s">
        <v>10</v>
      </c>
      <c r="C21" s="32">
        <v>10000</v>
      </c>
      <c r="D21" s="32">
        <v>878700</v>
      </c>
      <c r="E21" s="32">
        <v>9</v>
      </c>
      <c r="F21" s="32">
        <v>159817</v>
      </c>
      <c r="G21" s="32">
        <f t="shared" si="0"/>
        <v>0.87870000000000004</v>
      </c>
    </row>
    <row r="22" spans="1:7">
      <c r="A22" s="32" t="s">
        <v>7</v>
      </c>
      <c r="B22" s="32" t="s">
        <v>11</v>
      </c>
      <c r="C22" s="32">
        <v>10000</v>
      </c>
      <c r="D22" s="32">
        <v>1066100</v>
      </c>
      <c r="E22" s="32">
        <v>11</v>
      </c>
      <c r="F22" s="32">
        <v>93648</v>
      </c>
      <c r="G22" s="32">
        <f t="shared" si="0"/>
        <v>1.0661</v>
      </c>
    </row>
    <row r="23" spans="1:7">
      <c r="A23" s="32" t="s">
        <v>9</v>
      </c>
      <c r="B23" s="32" t="s">
        <v>11</v>
      </c>
      <c r="C23" s="32">
        <v>10000</v>
      </c>
      <c r="D23" s="32">
        <v>964800</v>
      </c>
      <c r="E23" s="32">
        <v>9</v>
      </c>
      <c r="F23" s="32">
        <v>157579</v>
      </c>
      <c r="G23" s="32">
        <f t="shared" si="0"/>
        <v>0.96479999999999999</v>
      </c>
    </row>
    <row r="24" spans="1:7">
      <c r="A24" s="32" t="s">
        <v>7</v>
      </c>
      <c r="B24" s="32" t="s">
        <v>12</v>
      </c>
      <c r="C24" s="32">
        <v>10000</v>
      </c>
      <c r="D24" s="32">
        <v>1736100</v>
      </c>
      <c r="E24" s="32">
        <v>11</v>
      </c>
      <c r="F24" s="32">
        <v>115037</v>
      </c>
      <c r="G24" s="32">
        <f t="shared" si="0"/>
        <v>1.7361</v>
      </c>
    </row>
    <row r="25" spans="1:7">
      <c r="A25" s="32" t="s">
        <v>9</v>
      </c>
      <c r="B25" s="32" t="s">
        <v>12</v>
      </c>
      <c r="C25" s="32">
        <v>10000</v>
      </c>
      <c r="D25" s="32">
        <v>8407200</v>
      </c>
      <c r="E25" s="32">
        <v>3</v>
      </c>
      <c r="F25" s="32">
        <v>10037762</v>
      </c>
      <c r="G25" s="32">
        <f t="shared" si="0"/>
        <v>8.4071999999999996</v>
      </c>
    </row>
    <row r="26" spans="1:7">
      <c r="A26" s="32" t="s">
        <v>13</v>
      </c>
      <c r="B26" s="32" t="s">
        <v>8</v>
      </c>
      <c r="C26" s="32">
        <v>100</v>
      </c>
      <c r="D26" s="32">
        <v>942200</v>
      </c>
      <c r="E26" s="32">
        <v>6</v>
      </c>
      <c r="F26" s="32">
        <v>833</v>
      </c>
      <c r="G26" s="32">
        <f t="shared" si="0"/>
        <v>0.94220000000000004</v>
      </c>
    </row>
    <row r="27" spans="1:7">
      <c r="A27" s="32" t="s">
        <v>13</v>
      </c>
      <c r="B27" s="32" t="s">
        <v>8</v>
      </c>
      <c r="C27" s="32">
        <v>1000</v>
      </c>
      <c r="D27" s="32">
        <v>585400</v>
      </c>
      <c r="E27" s="32">
        <v>9</v>
      </c>
      <c r="F27" s="32">
        <v>8370</v>
      </c>
      <c r="G27" s="32">
        <f t="shared" si="0"/>
        <v>0.58540000000000003</v>
      </c>
    </row>
    <row r="28" spans="1:7">
      <c r="A28" s="32" t="s">
        <v>13</v>
      </c>
      <c r="B28" s="32" t="s">
        <v>8</v>
      </c>
      <c r="C28" s="32">
        <v>10000</v>
      </c>
      <c r="D28" s="32">
        <v>1861900</v>
      </c>
      <c r="E28" s="32">
        <v>14</v>
      </c>
      <c r="F28" s="32">
        <v>95412</v>
      </c>
      <c r="G28" s="32">
        <f t="shared" si="0"/>
        <v>1.8619000000000001</v>
      </c>
    </row>
    <row r="29" spans="1:7">
      <c r="A29" s="32" t="s">
        <v>14</v>
      </c>
      <c r="B29" s="32" t="s">
        <v>8</v>
      </c>
      <c r="C29" s="32">
        <v>100</v>
      </c>
      <c r="D29" s="32">
        <v>6827800</v>
      </c>
      <c r="E29" s="32">
        <v>7</v>
      </c>
      <c r="F29" s="32">
        <v>127</v>
      </c>
      <c r="G29" s="32">
        <f t="shared" si="0"/>
        <v>6.8277999999999999</v>
      </c>
    </row>
    <row r="30" spans="1:7">
      <c r="A30" s="1" t="s">
        <v>14</v>
      </c>
      <c r="B30" s="2" t="s">
        <v>8</v>
      </c>
      <c r="C30" s="5">
        <v>1000</v>
      </c>
      <c r="D30" s="5">
        <v>5711400</v>
      </c>
      <c r="E30" s="5">
        <v>10</v>
      </c>
      <c r="F30" s="5">
        <v>1122</v>
      </c>
      <c r="G30" s="7">
        <f t="shared" si="0"/>
        <v>5.7114000000000003</v>
      </c>
    </row>
    <row r="31" spans="1:7">
      <c r="A31" s="3" t="s">
        <v>14</v>
      </c>
      <c r="B31" s="4" t="s">
        <v>8</v>
      </c>
      <c r="C31" s="6">
        <v>5000</v>
      </c>
      <c r="D31" s="6">
        <v>14245700</v>
      </c>
      <c r="E31" s="6">
        <v>12</v>
      </c>
      <c r="F31" s="6">
        <v>6444</v>
      </c>
      <c r="G31" s="8">
        <f t="shared" si="0"/>
        <v>14.245699999999999</v>
      </c>
    </row>
  </sheetData>
  <conditionalFormatting sqref="E2:E31">
    <cfRule type="colorScale" priority="2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G2:G31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{8C814932-ACB7-512B-3C1E-F3CB06D7C256}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814932-ACB7-512B-3C1E-F3CB06D7C256}">
            <x14:dataBar>
              <x14:cfvo type="min"/>
              <x14:cfvo type="max"/>
              <x14:negativeFillColor auto="1"/>
              <x14:axisColor auto="1"/>
            </x14:dataBar>
          </x14:cfRule>
          <xm:sqref>G2:G31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/>
  </sheetViews>
  <sheetFormatPr defaultRowHeight="13.8"/>
  <cols>
    <col min="1" max="1" width="17" customWidth="1"/>
    <col min="2" max="4" width="23" customWidth="1"/>
    <col min="5" max="5" width="13" customWidth="1"/>
    <col min="6" max="6" width="27" customWidth="1"/>
    <col min="7" max="7" width="10" customWidth="1"/>
    <col min="8" max="8" width="33" customWidth="1"/>
  </cols>
  <sheetData>
    <row r="1" spans="1:8">
      <c r="A1" s="30" t="s">
        <v>15</v>
      </c>
      <c r="B1" s="30"/>
      <c r="C1" s="30"/>
      <c r="D1" s="30"/>
      <c r="E1" s="30"/>
      <c r="F1" s="30"/>
      <c r="G1" s="30"/>
      <c r="H1" s="30"/>
    </row>
    <row r="2" spans="1:8">
      <c r="A2" s="30"/>
      <c r="B2" s="30"/>
      <c r="C2" s="30"/>
      <c r="D2" s="30"/>
      <c r="E2" s="30"/>
      <c r="F2" s="30"/>
      <c r="G2" s="30"/>
      <c r="H2" s="30"/>
    </row>
    <row r="3" spans="1:8" ht="14.4">
      <c r="A3" s="31" t="s">
        <v>16</v>
      </c>
      <c r="B3" s="31"/>
      <c r="C3" s="31"/>
      <c r="D3" s="31"/>
      <c r="E3" s="31"/>
      <c r="F3" s="31"/>
      <c r="G3" s="31"/>
      <c r="H3" s="31"/>
    </row>
    <row r="5" spans="1:8">
      <c r="A5" s="9" t="s">
        <v>2</v>
      </c>
      <c r="B5" s="10" t="s">
        <v>7</v>
      </c>
      <c r="C5" s="10" t="s">
        <v>9</v>
      </c>
      <c r="D5" s="11" t="s">
        <v>13</v>
      </c>
    </row>
    <row r="6" spans="1:8">
      <c r="A6" s="12">
        <v>100</v>
      </c>
      <c r="B6" s="17">
        <f>IF(COUNTIFS(Results!$A$2:$A$31,B$5,Results!$B$2:$B$31,"random",Results!$C$2:$C$31,$A6)=0,"",SUMIFS(Results!$G$2:$G$31,Results!$A$2:$A$31,B$5,Results!$B$2:$B$31,"random",Results!$C$2:$C$31,$A6))</f>
        <v>0.6774</v>
      </c>
      <c r="C6" s="17">
        <f>IF(COUNTIFS(Results!$A$2:$A$31,C$5,Results!$B$2:$B$31,"random",Results!$C$2:$C$31,$A6)=0,"",SUMIFS(Results!$G$2:$G$31,Results!$A$2:$A$31,C$5,Results!$B$2:$B$31,"random",Results!$C$2:$C$31,$A6))</f>
        <v>0.71109999999999995</v>
      </c>
      <c r="D6" s="18">
        <f>IF(COUNTIFS(Results!$A$2:$A$31,D$5,Results!$B$2:$B$31,"random",Results!$C$2:$C$31,$A6)=0,"",SUMIFS(Results!$G$2:$G$31,Results!$A$2:$A$31,D$5,Results!$B$2:$B$31,"random",Results!$C$2:$C$31,$A6))</f>
        <v>0.94220000000000004</v>
      </c>
    </row>
    <row r="7" spans="1:8">
      <c r="A7" s="12">
        <v>1000</v>
      </c>
      <c r="B7" s="17">
        <f>IF(COUNTIFS(Results!$A$2:$A$31,B$5,Results!$B$2:$B$31,"random",Results!$C$2:$C$31,$A7)=0,"",SUMIFS(Results!$G$2:$G$31,Results!$A$2:$A$31,B$5,Results!$B$2:$B$31,"random",Results!$C$2:$C$31,$A7))</f>
        <v>0.69510000000000005</v>
      </c>
      <c r="C7" s="17">
        <f>IF(COUNTIFS(Results!$A$2:$A$31,C$5,Results!$B$2:$B$31,"random",Results!$C$2:$C$31,$A7)=0,"",SUMIFS(Results!$G$2:$G$31,Results!$A$2:$A$31,C$5,Results!$B$2:$B$31,"random",Results!$C$2:$C$31,$A7))</f>
        <v>1.1288</v>
      </c>
      <c r="D7" s="18">
        <f>IF(COUNTIFS(Results!$A$2:$A$31,D$5,Results!$B$2:$B$31,"random",Results!$C$2:$C$31,$A7)=0,"",SUMIFS(Results!$G$2:$G$31,Results!$A$2:$A$31,D$5,Results!$B$2:$B$31,"random",Results!$C$2:$C$31,$A7))</f>
        <v>0.58540000000000003</v>
      </c>
    </row>
    <row r="8" spans="1:8">
      <c r="A8" s="14">
        <v>10000</v>
      </c>
      <c r="B8" s="19">
        <f>IF(COUNTIFS(Results!$A$2:$A$31,B$5,Results!$B$2:$B$31,"random",Results!$C$2:$C$31,$A8)=0,"",SUMIFS(Results!$G$2:$G$31,Results!$A$2:$A$31,B$5,Results!$B$2:$B$31,"random",Results!$C$2:$C$31,$A8))</f>
        <v>1.3115000000000001</v>
      </c>
      <c r="C8" s="19">
        <f>IF(COUNTIFS(Results!$A$2:$A$31,C$5,Results!$B$2:$B$31,"random",Results!$C$2:$C$31,$A8)=0,"",SUMIFS(Results!$G$2:$G$31,Results!$A$2:$A$31,C$5,Results!$B$2:$B$31,"random",Results!$C$2:$C$31,$A8))</f>
        <v>1.3043</v>
      </c>
      <c r="D8" s="20">
        <f>IF(COUNTIFS(Results!$A$2:$A$31,D$5,Results!$B$2:$B$31,"random",Results!$C$2:$C$31,$A8)=0,"",SUMIFS(Results!$G$2:$G$31,Results!$A$2:$A$31,D$5,Results!$B$2:$B$31,"random",Results!$C$2:$C$31,$A8))</f>
        <v>1.8619000000000001</v>
      </c>
    </row>
    <row r="12" spans="1:8">
      <c r="A12" s="9" t="s">
        <v>2</v>
      </c>
      <c r="B12" s="10" t="s">
        <v>7</v>
      </c>
      <c r="C12" s="10" t="s">
        <v>9</v>
      </c>
      <c r="D12" s="11" t="s">
        <v>13</v>
      </c>
    </row>
    <row r="13" spans="1:8">
      <c r="A13" s="12">
        <v>100</v>
      </c>
      <c r="B13" s="2">
        <f>IF(COUNTIFS(Results!$A$2:$A$31,B$12,Results!$B$2:$B$31,"random",Results!$C$2:$C$31,$A13)=0,"",SUMIFS(Results!$E$2:$E$31,Results!$A$2:$A$31,B$12,Results!$B$2:$B$31,"random",Results!$C$2:$C$31,$A13))</f>
        <v>5</v>
      </c>
      <c r="C13" s="2">
        <f>IF(COUNTIFS(Results!$A$2:$A$31,C$12,Results!$B$2:$B$31,"random",Results!$C$2:$C$31,$A13)=0,"",SUMIFS(Results!$E$2:$E$31,Results!$A$2:$A$31,C$12,Results!$B$2:$B$31,"random",Results!$C$2:$C$31,$A13))</f>
        <v>4</v>
      </c>
      <c r="D13" s="13">
        <f>IF(COUNTIFS(Results!$A$2:$A$31,D$12,Results!$B$2:$B$31,"random",Results!$C$2:$C$31,$A13)=0,"",SUMIFS(Results!$E$2:$E$31,Results!$A$2:$A$31,D$12,Results!$B$2:$B$31,"random",Results!$C$2:$C$31,$A13))</f>
        <v>6</v>
      </c>
    </row>
    <row r="14" spans="1:8">
      <c r="A14" s="12">
        <v>1000</v>
      </c>
      <c r="B14" s="2">
        <f>IF(COUNTIFS(Results!$A$2:$A$31,B$12,Results!$B$2:$B$31,"random",Results!$C$2:$C$31,$A14)=0,"",SUMIFS(Results!$E$2:$E$31,Results!$A$2:$A$31,B$12,Results!$B$2:$B$31,"random",Results!$C$2:$C$31,$A14))</f>
        <v>8</v>
      </c>
      <c r="C14" s="2">
        <f>IF(COUNTIFS(Results!$A$2:$A$31,C$12,Results!$B$2:$B$31,"random",Results!$C$2:$C$31,$A14)=0,"",SUMIFS(Results!$E$2:$E$31,Results!$A$2:$A$31,C$12,Results!$B$2:$B$31,"random",Results!$C$2:$C$31,$A14))</f>
        <v>6</v>
      </c>
      <c r="D14" s="13">
        <f>IF(COUNTIFS(Results!$A$2:$A$31,D$12,Results!$B$2:$B$31,"random",Results!$C$2:$C$31,$A14)=0,"",SUMIFS(Results!$E$2:$E$31,Results!$A$2:$A$31,D$12,Results!$B$2:$B$31,"random",Results!$C$2:$C$31,$A14))</f>
        <v>9</v>
      </c>
    </row>
    <row r="15" spans="1:8">
      <c r="A15" s="14">
        <v>10000</v>
      </c>
      <c r="B15" s="15">
        <f>IF(COUNTIFS(Results!$A$2:$A$31,B$12,Results!$B$2:$B$31,"random",Results!$C$2:$C$31,$A15)=0,"",SUMIFS(Results!$E$2:$E$31,Results!$A$2:$A$31,B$12,Results!$B$2:$B$31,"random",Results!$C$2:$C$31,$A15))</f>
        <v>11</v>
      </c>
      <c r="C15" s="15">
        <f>IF(COUNTIFS(Results!$A$2:$A$31,C$12,Results!$B$2:$B$31,"random",Results!$C$2:$C$31,$A15)=0,"",SUMIFS(Results!$E$2:$E$31,Results!$A$2:$A$31,C$12,Results!$B$2:$B$31,"random",Results!$C$2:$C$31,$A15))</f>
        <v>9</v>
      </c>
      <c r="D15" s="16">
        <f>IF(COUNTIFS(Results!$A$2:$A$31,D$12,Results!$B$2:$B$31,"random",Results!$C$2:$C$31,$A15)=0,"",SUMIFS(Results!$E$2:$E$31,Results!$A$2:$A$31,D$12,Results!$B$2:$B$31,"random",Results!$C$2:$C$31,$A15))</f>
        <v>14</v>
      </c>
    </row>
    <row r="19" spans="1:8">
      <c r="A19" s="9" t="s">
        <v>1</v>
      </c>
      <c r="B19" s="10" t="s">
        <v>17</v>
      </c>
      <c r="C19" s="11" t="s">
        <v>18</v>
      </c>
    </row>
    <row r="20" spans="1:8">
      <c r="A20" s="12" t="s">
        <v>8</v>
      </c>
      <c r="B20" s="17">
        <f>SUMIFS(Results!$G$2:$G$31,Results!$A$2:$A$31,"MergeSort",Results!$B$2:$B$31,$A20,Results!$C$2:$C$31,10000)</f>
        <v>1.3115000000000001</v>
      </c>
      <c r="C20" s="18">
        <f>SUMIFS(Results!$G$2:$G$31,Results!$A$2:$A$31,"QuickSort",Results!$B$2:$B$31,$A20,Results!$C$2:$C$31,10000)</f>
        <v>1.3043</v>
      </c>
    </row>
    <row r="21" spans="1:8">
      <c r="A21" s="12" t="s">
        <v>10</v>
      </c>
      <c r="B21" s="17">
        <f>SUMIFS(Results!$G$2:$G$31,Results!$A$2:$A$31,"MergeSort",Results!$B$2:$B$31,$A21,Results!$C$2:$C$31,10000)</f>
        <v>1.3355999999999999</v>
      </c>
      <c r="C21" s="18">
        <f>SUMIFS(Results!$G$2:$G$31,Results!$A$2:$A$31,"QuickSort",Results!$B$2:$B$31,$A21,Results!$C$2:$C$31,10000)</f>
        <v>0.87870000000000004</v>
      </c>
    </row>
    <row r="22" spans="1:8">
      <c r="A22" s="12" t="s">
        <v>11</v>
      </c>
      <c r="B22" s="17">
        <f>SUMIFS(Results!$G$2:$G$31,Results!$A$2:$A$31,"MergeSort",Results!$B$2:$B$31,$A22,Results!$C$2:$C$31,10000)</f>
        <v>1.0661</v>
      </c>
      <c r="C22" s="18">
        <f>SUMIFS(Results!$G$2:$G$31,Results!$A$2:$A$31,"QuickSort",Results!$B$2:$B$31,$A22,Results!$C$2:$C$31,10000)</f>
        <v>0.96479999999999999</v>
      </c>
    </row>
    <row r="23" spans="1:8">
      <c r="A23" s="14" t="s">
        <v>12</v>
      </c>
      <c r="B23" s="19">
        <f>SUMIFS(Results!$G$2:$G$31,Results!$A$2:$A$31,"MergeSort",Results!$B$2:$B$31,$A23,Results!$C$2:$C$31,10000)</f>
        <v>1.7361</v>
      </c>
      <c r="C23" s="20">
        <f>SUMIFS(Results!$G$2:$G$31,Results!$A$2:$A$31,"QuickSort",Results!$B$2:$B$31,$A23,Results!$C$2:$C$31,10000)</f>
        <v>8.4071999999999996</v>
      </c>
    </row>
    <row r="27" spans="1:8">
      <c r="A27" s="9" t="s">
        <v>2</v>
      </c>
      <c r="B27" s="10" t="s">
        <v>6</v>
      </c>
      <c r="C27" s="11" t="s">
        <v>4</v>
      </c>
      <c r="F27" s="21" t="s">
        <v>19</v>
      </c>
      <c r="G27" s="22" t="s">
        <v>20</v>
      </c>
      <c r="H27" s="23" t="s">
        <v>21</v>
      </c>
    </row>
    <row r="28" spans="1:8">
      <c r="A28" s="12">
        <v>100</v>
      </c>
      <c r="B28" s="17">
        <f>SUMIFS(Results!$G$2:$G$31,Results!$A$2:$A$31,"ClosestPair",Results!$C$2:$C$31,$A28)</f>
        <v>6.8277999999999999</v>
      </c>
      <c r="C28" s="13">
        <f>SUMIFS(Results!$E$2:$E$31,Results!$A$2:$A$31,"ClosestPair",Results!$C$2:$C$31,$A28)</f>
        <v>7</v>
      </c>
      <c r="F28" s="24" t="s">
        <v>22</v>
      </c>
      <c r="G28" s="25" t="s">
        <v>23</v>
      </c>
      <c r="H28" s="26" t="s">
        <v>24</v>
      </c>
    </row>
    <row r="29" spans="1:8">
      <c r="A29" s="12">
        <v>1000</v>
      </c>
      <c r="B29" s="17">
        <f>SUMIFS(Results!$G$2:$G$31,Results!$A$2:$A$31,"ClosestPair",Results!$C$2:$C$31,$A29)</f>
        <v>5.7114000000000003</v>
      </c>
      <c r="C29" s="13">
        <f>SUMIFS(Results!$E$2:$E$31,Results!$A$2:$A$31,"ClosestPair",Results!$C$2:$C$31,$A29)</f>
        <v>10</v>
      </c>
      <c r="F29" s="24" t="s">
        <v>25</v>
      </c>
      <c r="G29" s="25" t="s">
        <v>23</v>
      </c>
      <c r="H29" s="26" t="s">
        <v>26</v>
      </c>
    </row>
    <row r="30" spans="1:8">
      <c r="A30" s="14">
        <v>5000</v>
      </c>
      <c r="B30" s="19">
        <f>SUMIFS(Results!$G$2:$G$31,Results!$A$2:$A$31,"ClosestPair",Results!$C$2:$C$31,$A30)</f>
        <v>14.245699999999999</v>
      </c>
      <c r="C30" s="16">
        <f>SUMIFS(Results!$E$2:$E$31,Results!$A$2:$A$31,"ClosestPair",Results!$C$2:$C$31,$A30)</f>
        <v>12</v>
      </c>
      <c r="F30" s="24" t="s">
        <v>27</v>
      </c>
      <c r="G30" s="25" t="s">
        <v>23</v>
      </c>
      <c r="H30" s="26" t="s">
        <v>28</v>
      </c>
    </row>
    <row r="31" spans="1:8">
      <c r="F31" s="24" t="s">
        <v>29</v>
      </c>
      <c r="G31" s="25" t="s">
        <v>23</v>
      </c>
      <c r="H31" s="26" t="s">
        <v>4</v>
      </c>
    </row>
    <row r="32" spans="1:8">
      <c r="F32" s="27" t="s">
        <v>30</v>
      </c>
      <c r="G32" s="28" t="s">
        <v>23</v>
      </c>
      <c r="H32" s="29" t="s">
        <v>5</v>
      </c>
    </row>
  </sheetData>
  <mergeCells count="2">
    <mergeCell ref="A1:H2"/>
    <mergeCell ref="A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Sherkhan Amangeldi</cp:lastModifiedBy>
  <dcterms:modified xsi:type="dcterms:W3CDTF">2026-09-27T17:51:44Z</dcterms:modified>
</cp:coreProperties>
</file>